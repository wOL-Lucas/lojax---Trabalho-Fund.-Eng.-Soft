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988ff77fce83614/Área de Trabalho/trabalho fund eng soft/"/>
    </mc:Choice>
  </mc:AlternateContent>
  <xr:revisionPtr revIDLastSave="679" documentId="8_{CCB7F35F-5D72-4881-B082-7998AF1CC0E4}" xr6:coauthVersionLast="47" xr6:coauthVersionMax="47" xr10:uidLastSave="{13A3889A-A87F-4CD6-A66D-248FB912E5A7}"/>
  <bookViews>
    <workbookView xWindow="-120" yWindow="-120" windowWidth="29040" windowHeight="15720" activeTab="1" xr2:uid="{37C53FE1-3269-444B-AFD4-0328AEEB94DA}"/>
  </bookViews>
  <sheets>
    <sheet name="Painel" sheetId="15" r:id="rId1"/>
    <sheet name="query_estoque" sheetId="8" r:id="rId2"/>
    <sheet name="query_venda" sheetId="14" r:id="rId3"/>
  </sheets>
  <definedNames>
    <definedName name="DadosExternos_1" localSheetId="1" hidden="1">query_estoque!#REF!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4" l="1"/>
  <c r="H3" i="14"/>
  <c r="E7" i="14"/>
  <c r="E8" i="14"/>
  <c r="E9" i="14"/>
  <c r="E10" i="14"/>
  <c r="E11" i="14"/>
  <c r="E12" i="14"/>
  <c r="E3" i="14"/>
  <c r="E4" i="14"/>
  <c r="E5" i="14"/>
  <c r="E6" i="14"/>
  <c r="E2" i="14"/>
  <c r="F3" i="8"/>
  <c r="L3" i="1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DF2561-13B0-40E8-932B-472765A532C2}" keepAlive="1" name="Consulta - estoque" description="Conexão com a consulta 'estoque' na pasta de trabalho." type="5" refreshedVersion="0" background="1" saveData="1">
    <dbPr connection="Provider=Microsoft.Mashup.OleDb.1;Data Source=$Workbook$;Location=estoque;Extended Properties=&quot;&quot;" command="SELECT * FROM [estoque]"/>
  </connection>
</connections>
</file>

<file path=xl/sharedStrings.xml><?xml version="1.0" encoding="utf-8"?>
<sst xmlns="http://schemas.openxmlformats.org/spreadsheetml/2006/main" count="36" uniqueCount="22">
  <si>
    <t>liquidificador</t>
  </si>
  <si>
    <t>geladeira</t>
  </si>
  <si>
    <t>fogão</t>
  </si>
  <si>
    <t>máquina de lavar</t>
  </si>
  <si>
    <t>jogo de cozinha</t>
  </si>
  <si>
    <t>video game</t>
  </si>
  <si>
    <t>notebook</t>
  </si>
  <si>
    <t>guarda roupas</t>
  </si>
  <si>
    <t>Coluna1</t>
  </si>
  <si>
    <t>PREÇO</t>
  </si>
  <si>
    <t>Qntd. Em Estoque</t>
  </si>
  <si>
    <t>Itens em estoque</t>
  </si>
  <si>
    <t>televisão</t>
  </si>
  <si>
    <t>un. Vendidas</t>
  </si>
  <si>
    <t>R$</t>
  </si>
  <si>
    <t>Valor do estoque</t>
  </si>
  <si>
    <t>produto</t>
  </si>
  <si>
    <t>valor un.</t>
  </si>
  <si>
    <t>valor total vendido</t>
  </si>
  <si>
    <t>Unidades Vendidas</t>
  </si>
  <si>
    <t>Valor total entrada</t>
  </si>
  <si>
    <t>CONTROLE DE VENDAS E ESTOQUE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</si>
</sst>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b/>
      <sz val="28"/>
      <color theme="1" tint="0.249977111117893"/>
      <name val="Arial"/>
      <family val="2"/>
    </font>
    <font>
      <b/>
      <sz val="12"/>
      <color theme="1" tint="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2" fontId="0" fillId="0" borderId="0" xfId="0" applyNumberFormat="1"/>
    <xf numFmtId="2" fontId="0" fillId="2" borderId="0" xfId="0" applyNumberFormat="1" applyFill="1"/>
    <xf numFmtId="0" fontId="0" fillId="2" borderId="0" xfId="0" applyFill="1"/>
    <xf numFmtId="0" fontId="0" fillId="2" borderId="13" xfId="0" applyFill="1" applyBorder="1"/>
    <xf numFmtId="0" fontId="0" fillId="2" borderId="15" xfId="0" applyFill="1" applyBorder="1"/>
    <xf numFmtId="0" fontId="0" fillId="2" borderId="16" xfId="0" applyFill="1" applyBorder="1"/>
    <xf numFmtId="0" fontId="1" fillId="2" borderId="0" xfId="0" applyFont="1" applyFill="1" applyAlignment="1">
      <alignment horizontal="center"/>
    </xf>
    <xf numFmtId="2" fontId="0" fillId="2" borderId="12" xfId="0" applyNumberFormat="1" applyFill="1" applyBorder="1"/>
    <xf numFmtId="2" fontId="0" fillId="2" borderId="13" xfId="0" applyNumberFormat="1" applyFill="1" applyBorder="1"/>
    <xf numFmtId="2" fontId="0" fillId="2" borderId="14" xfId="0" applyNumberFormat="1" applyFill="1" applyBorder="1"/>
    <xf numFmtId="2" fontId="0" fillId="2" borderId="15" xfId="0" applyNumberFormat="1" applyFill="1" applyBorder="1"/>
    <xf numFmtId="2" fontId="0" fillId="2" borderId="16" xfId="0" applyNumberFormat="1" applyFill="1" applyBorder="1"/>
    <xf numFmtId="2" fontId="3" fillId="2" borderId="10" xfId="0" applyNumberFormat="1" applyFont="1" applyFill="1" applyBorder="1" applyAlignment="1">
      <alignment horizontal="center"/>
    </xf>
    <xf numFmtId="2" fontId="3" fillId="2" borderId="9" xfId="0" applyNumberFormat="1" applyFont="1" applyFill="1" applyBorder="1"/>
    <xf numFmtId="2" fontId="3" fillId="2" borderId="11" xfId="0" applyNumberFormat="1" applyFont="1" applyFill="1" applyBorder="1"/>
    <xf numFmtId="0" fontId="3" fillId="2" borderId="10" xfId="0" applyFont="1" applyFill="1" applyBorder="1" applyAlignment="1">
      <alignment horizontal="center"/>
    </xf>
    <xf numFmtId="0" fontId="3" fillId="2" borderId="11" xfId="0" applyFont="1" applyFill="1" applyBorder="1"/>
    <xf numFmtId="2" fontId="0" fillId="2" borderId="12" xfId="0" applyNumberFormat="1" applyFill="1" applyBorder="1" applyAlignment="1">
      <alignment horizontal="right"/>
    </xf>
    <xf numFmtId="2" fontId="1" fillId="2" borderId="0" xfId="0" applyNumberFormat="1" applyFont="1" applyFill="1"/>
    <xf numFmtId="0" fontId="2" fillId="0" borderId="0" xfId="0" applyFont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2" fontId="2" fillId="0" borderId="0" xfId="0" applyNumberFormat="1" applyFont="1"/>
    <xf numFmtId="0" fontId="1" fillId="2" borderId="2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4" xfId="0" applyFill="1" applyBorder="1" applyAlignment="1">
      <alignment horizontal="right"/>
    </xf>
    <xf numFmtId="1" fontId="0" fillId="0" borderId="0" xfId="0" applyNumberFormat="1"/>
    <xf numFmtId="1" fontId="2" fillId="0" borderId="0" xfId="0" applyNumberFormat="1" applyFont="1"/>
    <xf numFmtId="0" fontId="4" fillId="2" borderId="0" xfId="0" applyFont="1" applyFill="1"/>
    <xf numFmtId="2" fontId="5" fillId="2" borderId="0" xfId="0" applyNumberFormat="1" applyFont="1" applyFill="1" applyBorder="1" applyAlignment="1">
      <alignment horizontal="center" vertical="center"/>
    </xf>
    <xf numFmtId="2" fontId="6" fillId="2" borderId="0" xfId="0" applyNumberFormat="1" applyFont="1" applyFill="1" applyBorder="1" applyAlignment="1">
      <alignment horizontal="center" vertical="center"/>
    </xf>
    <xf numFmtId="2" fontId="6" fillId="2" borderId="7" xfId="0" applyNumberFormat="1" applyFont="1" applyFill="1" applyBorder="1" applyAlignment="1">
      <alignment horizontal="center" vertical="center"/>
    </xf>
    <xf numFmtId="2" fontId="4" fillId="2" borderId="0" xfId="0" applyNumberFormat="1" applyFont="1" applyFill="1"/>
    <xf numFmtId="2" fontId="4" fillId="3" borderId="1" xfId="0" applyNumberFormat="1" applyFont="1" applyFill="1" applyBorder="1"/>
    <xf numFmtId="2" fontId="4" fillId="3" borderId="2" xfId="0" applyNumberFormat="1" applyFont="1" applyFill="1" applyBorder="1"/>
    <xf numFmtId="2" fontId="4" fillId="3" borderId="3" xfId="0" applyNumberFormat="1" applyFont="1" applyFill="1" applyBorder="1"/>
    <xf numFmtId="2" fontId="4" fillId="3" borderId="4" xfId="0" applyNumberFormat="1" applyFont="1" applyFill="1" applyBorder="1"/>
    <xf numFmtId="2" fontId="4" fillId="3" borderId="0" xfId="0" applyNumberFormat="1" applyFont="1" applyFill="1" applyBorder="1"/>
    <xf numFmtId="2" fontId="4" fillId="3" borderId="5" xfId="0" applyNumberFormat="1" applyFont="1" applyFill="1" applyBorder="1"/>
    <xf numFmtId="2" fontId="4" fillId="3" borderId="6" xfId="0" applyNumberFormat="1" applyFont="1" applyFill="1" applyBorder="1"/>
    <xf numFmtId="2" fontId="4" fillId="3" borderId="7" xfId="0" applyNumberFormat="1" applyFont="1" applyFill="1" applyBorder="1"/>
    <xf numFmtId="2" fontId="4" fillId="3" borderId="8" xfId="0" applyNumberFormat="1" applyFont="1" applyFill="1" applyBorder="1"/>
    <xf numFmtId="2" fontId="4" fillId="4" borderId="1" xfId="0" applyNumberFormat="1" applyFont="1" applyFill="1" applyBorder="1"/>
    <xf numFmtId="2" fontId="4" fillId="4" borderId="2" xfId="0" applyNumberFormat="1" applyFont="1" applyFill="1" applyBorder="1"/>
    <xf numFmtId="2" fontId="4" fillId="4" borderId="3" xfId="0" applyNumberFormat="1" applyFont="1" applyFill="1" applyBorder="1"/>
    <xf numFmtId="2" fontId="4" fillId="4" borderId="4" xfId="0" applyNumberFormat="1" applyFont="1" applyFill="1" applyBorder="1"/>
    <xf numFmtId="2" fontId="4" fillId="4" borderId="0" xfId="0" applyNumberFormat="1" applyFont="1" applyFill="1" applyBorder="1"/>
    <xf numFmtId="2" fontId="4" fillId="4" borderId="5" xfId="0" applyNumberFormat="1" applyFont="1" applyFill="1" applyBorder="1"/>
    <xf numFmtId="2" fontId="4" fillId="4" borderId="6" xfId="0" applyNumberFormat="1" applyFont="1" applyFill="1" applyBorder="1"/>
    <xf numFmtId="2" fontId="4" fillId="4" borderId="7" xfId="0" applyNumberFormat="1" applyFont="1" applyFill="1" applyBorder="1"/>
    <xf numFmtId="2" fontId="4" fillId="4" borderId="8" xfId="0" applyNumberFormat="1" applyFont="1" applyFill="1" applyBorder="1"/>
  </cellXfs>
  <cellStyles count="1">
    <cellStyle name="Normal" xfId="0" builtinId="0"/>
  </cellStyles>
  <dxfs count="13"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</dxfs>
  <tableStyles count="0" defaultTableStyle="TableStyleMedium2" defaultPivotStyle="PivotStyleLight16"/>
  <colors>
    <mruColors>
      <color rgb="FF205A5A"/>
      <color rgb="FF3DCB58"/>
      <color rgb="FF58A8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97360017497812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query_estoque!$C$1</c:f>
              <c:strCache>
                <c:ptCount val="1"/>
                <c:pt idx="0">
                  <c:v>Qntd. Em Estoque</c:v>
                </c:pt>
              </c:strCache>
            </c:strRef>
          </c:tx>
          <c:spPr>
            <a:solidFill>
              <a:srgbClr val="205A5A"/>
            </a:solidFill>
            <a:ln>
              <a:noFill/>
            </a:ln>
            <a:effectLst/>
            <a:sp3d/>
          </c:spPr>
          <c:invertIfNegative val="0"/>
          <c:cat>
            <c:strRef>
              <c:f>query_estoque!$A$2:$A$10</c:f>
              <c:strCache>
                <c:ptCount val="9"/>
                <c:pt idx="0">
                  <c:v>liquidificador</c:v>
                </c:pt>
                <c:pt idx="1">
                  <c:v>geladeira</c:v>
                </c:pt>
                <c:pt idx="2">
                  <c:v>fogão</c:v>
                </c:pt>
                <c:pt idx="3">
                  <c:v>máquina de lavar</c:v>
                </c:pt>
                <c:pt idx="4">
                  <c:v>jogo de cozinha</c:v>
                </c:pt>
                <c:pt idx="5">
                  <c:v>video game</c:v>
                </c:pt>
                <c:pt idx="6">
                  <c:v>notebook</c:v>
                </c:pt>
                <c:pt idx="7">
                  <c:v>guarda roupas</c:v>
                </c:pt>
                <c:pt idx="8">
                  <c:v>televisão</c:v>
                </c:pt>
              </c:strCache>
            </c:strRef>
          </c:cat>
          <c:val>
            <c:numRef>
              <c:f>query_estoque!$C$2:$C$10</c:f>
              <c:numCache>
                <c:formatCode>0</c:formatCode>
                <c:ptCount val="9"/>
                <c:pt idx="0">
                  <c:v>99</c:v>
                </c:pt>
                <c:pt idx="1">
                  <c:v>80</c:v>
                </c:pt>
                <c:pt idx="2">
                  <c:v>25</c:v>
                </c:pt>
                <c:pt idx="3">
                  <c:v>45</c:v>
                </c:pt>
                <c:pt idx="4">
                  <c:v>30</c:v>
                </c:pt>
                <c:pt idx="5">
                  <c:v>200</c:v>
                </c:pt>
                <c:pt idx="6">
                  <c:v>5</c:v>
                </c:pt>
                <c:pt idx="7">
                  <c:v>10</c:v>
                </c:pt>
                <c:pt idx="8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85-4B72-955C-D1AB9C0F4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76449183"/>
        <c:axId val="1176453983"/>
        <c:axId val="0"/>
      </c:bar3DChart>
      <c:catAx>
        <c:axId val="1176449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6453983"/>
        <c:crosses val="autoZero"/>
        <c:auto val="1"/>
        <c:lblAlgn val="ctr"/>
        <c:lblOffset val="100"/>
        <c:noMultiLvlLbl val="0"/>
      </c:catAx>
      <c:valAx>
        <c:axId val="1176453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6449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query_venda!$D$1</c:f>
              <c:strCache>
                <c:ptCount val="1"/>
                <c:pt idx="0">
                  <c:v>un. Vendidas</c:v>
                </c:pt>
              </c:strCache>
            </c:strRef>
          </c:tx>
          <c:spPr>
            <a:solidFill>
              <a:srgbClr val="205A5A"/>
            </a:solidFill>
            <a:ln>
              <a:solidFill>
                <a:srgbClr val="205A5A"/>
              </a:solidFill>
            </a:ln>
            <a:effectLst/>
            <a:sp3d>
              <a:contourClr>
                <a:srgbClr val="205A5A"/>
              </a:contourClr>
            </a:sp3d>
          </c:spPr>
          <c:invertIfNegative val="0"/>
          <c:cat>
            <c:strRef>
              <c:f>query_venda!$B$2:$B$13</c:f>
              <c:strCache>
                <c:ptCount val="12"/>
                <c:pt idx="0">
                  <c:v>liquidificador</c:v>
                </c:pt>
                <c:pt idx="1">
                  <c:v>fogão</c:v>
                </c:pt>
                <c:pt idx="2">
                  <c:v>jogo de cozinha</c:v>
                </c:pt>
                <c:pt idx="3">
                  <c:v>geladeira</c:v>
                </c:pt>
                <c:pt idx="4">
                  <c:v>geladeira</c:v>
                </c:pt>
                <c:pt idx="5">
                  <c:v>máquina de lavar</c:v>
                </c:pt>
                <c:pt idx="6">
                  <c:v>geladeira</c:v>
                </c:pt>
                <c:pt idx="7">
                  <c:v>geladeira</c:v>
                </c:pt>
                <c:pt idx="8">
                  <c:v>jogo de cozinha</c:v>
                </c:pt>
                <c:pt idx="9">
                  <c:v>fogão</c:v>
                </c:pt>
                <c:pt idx="10">
                  <c:v>notebook</c:v>
                </c:pt>
                <c:pt idx="11">
                  <c:v>liquidificador</c:v>
                </c:pt>
              </c:strCache>
            </c:strRef>
          </c:cat>
          <c:val>
            <c:numRef>
              <c:f>query_venda!$D$2:$D$13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10</c:v>
                </c:pt>
                <c:pt idx="3">
                  <c:v>3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3F-472E-8074-8210B0843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55768975"/>
        <c:axId val="1055765135"/>
        <c:axId val="1079094159"/>
      </c:bar3DChart>
      <c:catAx>
        <c:axId val="1055768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5765135"/>
        <c:crosses val="autoZero"/>
        <c:auto val="1"/>
        <c:lblAlgn val="ctr"/>
        <c:lblOffset val="100"/>
        <c:noMultiLvlLbl val="0"/>
      </c:catAx>
      <c:valAx>
        <c:axId val="1055765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5768975"/>
        <c:crosses val="autoZero"/>
        <c:crossBetween val="between"/>
      </c:valAx>
      <c:serAx>
        <c:axId val="10790941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5765135"/>
        <c:crosses val="autoZero"/>
      </c:serAx>
      <c:spPr>
        <a:solidFill>
          <a:schemeClr val="accent6">
            <a:lumMod val="40000"/>
            <a:lumOff val="60000"/>
          </a:schemeClr>
        </a:solidFill>
        <a:ln w="12700">
          <a:solidFill>
            <a:schemeClr val="tx1">
              <a:lumMod val="95000"/>
              <a:lumOff val="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query_estoque!A1"/><Relationship Id="rId1" Type="http://schemas.openxmlformats.org/officeDocument/2006/relationships/hyperlink" Target="#query_venda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17</xdr:row>
      <xdr:rowOff>57150</xdr:rowOff>
    </xdr:from>
    <xdr:to>
      <xdr:col>6</xdr:col>
      <xdr:colOff>476250</xdr:colOff>
      <xdr:row>21</xdr:row>
      <xdr:rowOff>9525</xdr:rowOff>
    </xdr:to>
    <xdr:sp macro="[0]!query_vendas" textlink="">
      <xdr:nvSpPr>
        <xdr:cNvPr id="3" name="Retângulo: Cantos Diagonais Recort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54C5BC-9FA1-4070-9C3E-00570D8830CD}"/>
            </a:ext>
          </a:extLst>
        </xdr:cNvPr>
        <xdr:cNvSpPr/>
      </xdr:nvSpPr>
      <xdr:spPr>
        <a:xfrm>
          <a:off x="2600325" y="3314700"/>
          <a:ext cx="1533525" cy="714375"/>
        </a:xfrm>
        <a:prstGeom prst="snip2DiagRect">
          <a:avLst/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VER</a:t>
          </a:r>
          <a:r>
            <a:rPr lang="pt-BR" sz="1100" b="1" baseline="0"/>
            <a:t> VENDAS</a:t>
          </a:r>
          <a:endParaRPr lang="pt-BR" sz="1100" b="1"/>
        </a:p>
      </xdr:txBody>
    </xdr:sp>
    <xdr:clientData/>
  </xdr:twoCellAnchor>
  <xdr:twoCellAnchor>
    <xdr:from>
      <xdr:col>4</xdr:col>
      <xdr:colOff>152400</xdr:colOff>
      <xdr:row>13</xdr:row>
      <xdr:rowOff>38100</xdr:rowOff>
    </xdr:from>
    <xdr:to>
      <xdr:col>6</xdr:col>
      <xdr:colOff>466725</xdr:colOff>
      <xdr:row>16</xdr:row>
      <xdr:rowOff>180975</xdr:rowOff>
    </xdr:to>
    <xdr:sp macro="[0]!query_estoque" textlink="">
      <xdr:nvSpPr>
        <xdr:cNvPr id="4" name="Retângulo: Cantos Diagonais Recort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5824590-8904-42B7-802B-B50D615A2515}"/>
            </a:ext>
          </a:extLst>
        </xdr:cNvPr>
        <xdr:cNvSpPr/>
      </xdr:nvSpPr>
      <xdr:spPr>
        <a:xfrm>
          <a:off x="2590800" y="2533650"/>
          <a:ext cx="1533525" cy="714375"/>
        </a:xfrm>
        <a:prstGeom prst="snip2DiagRect">
          <a:avLst/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VER</a:t>
          </a:r>
          <a:r>
            <a:rPr lang="pt-BR" sz="1100" b="1" baseline="0"/>
            <a:t> ESTOQUE ATUAL</a:t>
          </a:r>
          <a:endParaRPr lang="pt-B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</xdr:colOff>
      <xdr:row>5</xdr:row>
      <xdr:rowOff>28575</xdr:rowOff>
    </xdr:from>
    <xdr:to>
      <xdr:col>11</xdr:col>
      <xdr:colOff>319087</xdr:colOff>
      <xdr:row>19</xdr:row>
      <xdr:rowOff>104775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D273CB1-7660-9901-CF42-C8C9A51385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604837</xdr:colOff>
      <xdr:row>5</xdr:row>
      <xdr:rowOff>19049</xdr:rowOff>
    </xdr:from>
    <xdr:to>
      <xdr:col>13</xdr:col>
      <xdr:colOff>314437</xdr:colOff>
      <xdr:row>19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A46835-84FF-FEBD-2ACF-A702A5A9B1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5C4EF5-04A5-4721-B69E-5965D422D191}" name="Tabela1" displayName="Tabela1" ref="A1:C10" totalsRowShown="0" dataDxfId="12" tableBorderDxfId="11">
  <autoFilter ref="A1:C10" xr:uid="{585C4EF5-04A5-4721-B69E-5965D422D191}"/>
  <tableColumns count="3">
    <tableColumn id="1" xr3:uid="{296CFB67-9FA7-42C5-B917-F7C512F660DA}" name="Coluna1" dataDxfId="10"/>
    <tableColumn id="2" xr3:uid="{E6094903-720C-4CC8-80D3-8DEE08BE2528}" name="PREÇO" dataDxfId="1"/>
    <tableColumn id="3" xr3:uid="{4CCCBEAA-F436-40BC-A92E-A81E561BF017}" name="Qntd. Em Estoque" dataDxfId="0"/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4B7E274-1401-41AD-9900-7B03B93F4639}" name="Tabela9" displayName="Tabela9" ref="A1:E13" totalsRowShown="0" headerRowDxfId="9" dataDxfId="8" tableBorderDxfId="7">
  <autoFilter ref="A1:E13" xr:uid="{24B7E274-1401-41AD-9900-7B03B93F4639}"/>
  <tableColumns count="5">
    <tableColumn id="1" xr3:uid="{83F11859-7F9A-41B7-88FE-83791F699915}" name="Coluna1" dataDxfId="6"/>
    <tableColumn id="2" xr3:uid="{13F68849-A518-454F-A376-D29415EDC649}" name="produto" dataDxfId="5"/>
    <tableColumn id="3" xr3:uid="{2BDC58D6-0D24-4EF1-BE10-D52F7C3B5779}" name="valor un." dataDxfId="4"/>
    <tableColumn id="5" xr3:uid="{79A331CC-83D6-4CB2-B336-C983756C0E06}" name="un. Vendidas" dataDxfId="3"/>
    <tableColumn id="6" xr3:uid="{26045DEE-7811-4F59-8593-B53DE593CD2B}" name="valor total vendido" dataDxfId="2">
      <calculatedColumnFormula>Tabela9[[#This Row],[valor un.]]*Tabela9[[#This Row],[un. Vendidas]]</calculatedColumnFormula>
    </tableColumn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1A152-F83B-49C7-8D1F-09FC4E452BA2}">
  <sheetPr codeName="Planilha1"/>
  <dimension ref="A1:AC23"/>
  <sheetViews>
    <sheetView workbookViewId="0">
      <selection activeCell="N25" sqref="N25"/>
    </sheetView>
  </sheetViews>
  <sheetFormatPr defaultRowHeight="15" x14ac:dyDescent="0.2"/>
  <cols>
    <col min="1" max="29" width="9.140625" style="38"/>
    <col min="30" max="16384" width="9.140625" style="34"/>
  </cols>
  <sheetData>
    <row r="1" spans="1:29" x14ac:dyDescent="0.2">
      <c r="A1" s="35" t="s">
        <v>21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</row>
    <row r="2" spans="1:29" x14ac:dyDescent="0.2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</row>
    <row r="3" spans="1:29" x14ac:dyDescent="0.2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</row>
    <row r="4" spans="1:29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</row>
    <row r="5" spans="1:29" x14ac:dyDescent="0.2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</row>
    <row r="6" spans="1:29" x14ac:dyDescent="0.2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</row>
    <row r="7" spans="1:29" ht="15.75" thickBot="1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</row>
    <row r="11" spans="1:29" ht="15.75" thickBot="1" x14ac:dyDescent="0.25"/>
    <row r="12" spans="1:29" ht="15.75" thickBot="1" x14ac:dyDescent="0.25">
      <c r="D12" s="39"/>
      <c r="E12" s="40"/>
      <c r="F12" s="40"/>
      <c r="G12" s="40"/>
      <c r="H12" s="41"/>
      <c r="I12" s="39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1"/>
    </row>
    <row r="13" spans="1:29" x14ac:dyDescent="0.2">
      <c r="D13" s="42"/>
      <c r="E13" s="43"/>
      <c r="F13" s="43"/>
      <c r="G13" s="43"/>
      <c r="H13" s="44"/>
      <c r="I13" s="42"/>
      <c r="J13" s="48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50"/>
      <c r="AA13" s="44"/>
    </row>
    <row r="14" spans="1:29" x14ac:dyDescent="0.2">
      <c r="D14" s="42"/>
      <c r="E14" s="43"/>
      <c r="F14" s="43"/>
      <c r="G14" s="43"/>
      <c r="H14" s="44"/>
      <c r="I14" s="42"/>
      <c r="J14" s="51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3"/>
      <c r="AA14" s="44"/>
    </row>
    <row r="15" spans="1:29" x14ac:dyDescent="0.2">
      <c r="D15" s="42"/>
      <c r="E15" s="43"/>
      <c r="F15" s="43"/>
      <c r="G15" s="43"/>
      <c r="H15" s="44"/>
      <c r="I15" s="42"/>
      <c r="J15" s="51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3"/>
      <c r="AA15" s="44"/>
    </row>
    <row r="16" spans="1:29" x14ac:dyDescent="0.2">
      <c r="D16" s="42"/>
      <c r="E16" s="43"/>
      <c r="F16" s="43"/>
      <c r="G16" s="43"/>
      <c r="H16" s="44"/>
      <c r="I16" s="42"/>
      <c r="J16" s="51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3"/>
      <c r="AA16" s="44"/>
    </row>
    <row r="17" spans="4:27" x14ac:dyDescent="0.2">
      <c r="D17" s="42"/>
      <c r="E17" s="43"/>
      <c r="F17" s="43"/>
      <c r="G17" s="43"/>
      <c r="H17" s="44"/>
      <c r="I17" s="42"/>
      <c r="J17" s="51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3"/>
      <c r="AA17" s="44"/>
    </row>
    <row r="18" spans="4:27" x14ac:dyDescent="0.2">
      <c r="D18" s="42"/>
      <c r="E18" s="43"/>
      <c r="F18" s="43"/>
      <c r="G18" s="43"/>
      <c r="H18" s="44"/>
      <c r="I18" s="42"/>
      <c r="J18" s="51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3"/>
      <c r="AA18" s="44"/>
    </row>
    <row r="19" spans="4:27" x14ac:dyDescent="0.2">
      <c r="D19" s="42"/>
      <c r="E19" s="43"/>
      <c r="F19" s="43"/>
      <c r="G19" s="43"/>
      <c r="H19" s="44"/>
      <c r="I19" s="42"/>
      <c r="J19" s="51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3"/>
      <c r="AA19" s="44"/>
    </row>
    <row r="20" spans="4:27" x14ac:dyDescent="0.2">
      <c r="D20" s="42"/>
      <c r="E20" s="43"/>
      <c r="F20" s="43"/>
      <c r="G20" s="43"/>
      <c r="H20" s="44"/>
      <c r="I20" s="42"/>
      <c r="J20" s="51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3"/>
      <c r="AA20" s="44"/>
    </row>
    <row r="21" spans="4:27" x14ac:dyDescent="0.2">
      <c r="D21" s="42"/>
      <c r="E21" s="43"/>
      <c r="F21" s="43"/>
      <c r="G21" s="43"/>
      <c r="H21" s="44"/>
      <c r="I21" s="42"/>
      <c r="J21" s="51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3"/>
      <c r="AA21" s="44"/>
    </row>
    <row r="22" spans="4:27" ht="15.75" thickBot="1" x14ac:dyDescent="0.25">
      <c r="D22" s="42"/>
      <c r="E22" s="43"/>
      <c r="F22" s="43"/>
      <c r="G22" s="43"/>
      <c r="H22" s="44"/>
      <c r="I22" s="42"/>
      <c r="J22" s="54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6"/>
      <c r="AA22" s="44"/>
    </row>
    <row r="23" spans="4:27" ht="15.75" thickBot="1" x14ac:dyDescent="0.25">
      <c r="D23" s="45"/>
      <c r="E23" s="46"/>
      <c r="F23" s="46"/>
      <c r="G23" s="46"/>
      <c r="H23" s="47"/>
      <c r="I23" s="45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7"/>
    </row>
  </sheetData>
  <mergeCells count="1">
    <mergeCell ref="A1:AC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4A5B0-B078-478F-ADD0-ADD02FD6EC18}">
  <sheetPr codeName="Planilha4"/>
  <dimension ref="A1:K10"/>
  <sheetViews>
    <sheetView showGridLines="0" tabSelected="1" workbookViewId="0">
      <selection activeCell="N2" sqref="N2"/>
    </sheetView>
  </sheetViews>
  <sheetFormatPr defaultRowHeight="15" x14ac:dyDescent="0.25"/>
  <cols>
    <col min="1" max="1" width="16.28515625" bestFit="1" customWidth="1"/>
    <col min="2" max="2" width="12" style="5" bestFit="1" customWidth="1"/>
    <col min="3" max="3" width="22.5703125" style="32" bestFit="1" customWidth="1"/>
    <col min="4" max="4" width="18.140625" bestFit="1" customWidth="1"/>
    <col min="5" max="5" width="9.140625" style="5"/>
    <col min="9" max="9" width="9.140625" style="5"/>
    <col min="10" max="11" width="10.5703125" style="5" bestFit="1" customWidth="1"/>
  </cols>
  <sheetData>
    <row r="1" spans="1:11" x14ac:dyDescent="0.25">
      <c r="A1" t="s">
        <v>8</v>
      </c>
      <c r="B1" s="5" t="s">
        <v>9</v>
      </c>
      <c r="C1" s="32" t="s">
        <v>10</v>
      </c>
      <c r="E1" s="18"/>
      <c r="F1" s="20" t="s">
        <v>11</v>
      </c>
      <c r="G1" s="21"/>
      <c r="I1" s="18"/>
      <c r="J1" s="17" t="s">
        <v>15</v>
      </c>
      <c r="K1" s="19"/>
    </row>
    <row r="2" spans="1:11" x14ac:dyDescent="0.25">
      <c r="A2" s="24" t="s">
        <v>0</v>
      </c>
      <c r="B2" s="28">
        <v>150</v>
      </c>
      <c r="C2" s="33">
        <v>99</v>
      </c>
      <c r="E2" s="12"/>
      <c r="F2" s="7"/>
      <c r="G2" s="8"/>
      <c r="I2" s="12"/>
      <c r="J2" s="6"/>
      <c r="K2" s="13"/>
    </row>
    <row r="3" spans="1:11" x14ac:dyDescent="0.25">
      <c r="A3" s="24" t="s">
        <v>1</v>
      </c>
      <c r="B3" s="28">
        <v>1350</v>
      </c>
      <c r="C3" s="33">
        <v>80</v>
      </c>
      <c r="E3" s="12"/>
      <c r="F3" s="11">
        <f>SUM(C:C)</f>
        <v>526</v>
      </c>
      <c r="G3" s="8"/>
      <c r="I3" s="22" t="s">
        <v>14</v>
      </c>
      <c r="J3" s="23">
        <v>1360850.4968261719</v>
      </c>
      <c r="K3" s="13"/>
    </row>
    <row r="4" spans="1:11" x14ac:dyDescent="0.25">
      <c r="A4" s="24" t="s">
        <v>2</v>
      </c>
      <c r="B4" s="28">
        <v>800</v>
      </c>
      <c r="C4" s="33">
        <v>25</v>
      </c>
      <c r="E4" s="14"/>
      <c r="F4" s="9"/>
      <c r="G4" s="10"/>
      <c r="I4" s="14"/>
      <c r="J4" s="15"/>
      <c r="K4" s="16"/>
    </row>
    <row r="5" spans="1:11" x14ac:dyDescent="0.25">
      <c r="A5" s="24" t="s">
        <v>3</v>
      </c>
      <c r="B5" s="28">
        <v>1300</v>
      </c>
      <c r="C5" s="33">
        <v>45</v>
      </c>
    </row>
    <row r="6" spans="1:11" x14ac:dyDescent="0.25">
      <c r="A6" s="24" t="s">
        <v>4</v>
      </c>
      <c r="B6" s="28">
        <v>3599.989990234375</v>
      </c>
      <c r="C6" s="33">
        <v>30</v>
      </c>
    </row>
    <row r="7" spans="1:11" x14ac:dyDescent="0.25">
      <c r="A7" s="24" t="s">
        <v>5</v>
      </c>
      <c r="B7" s="28">
        <v>4999.990234375</v>
      </c>
      <c r="C7" s="33">
        <v>200</v>
      </c>
    </row>
    <row r="8" spans="1:11" x14ac:dyDescent="0.25">
      <c r="A8" s="24" t="s">
        <v>6</v>
      </c>
      <c r="B8" s="28">
        <v>2500.550048828125</v>
      </c>
      <c r="C8" s="33">
        <v>5</v>
      </c>
    </row>
    <row r="9" spans="1:11" x14ac:dyDescent="0.25">
      <c r="A9" s="24" t="s">
        <v>7</v>
      </c>
      <c r="B9" s="28">
        <v>700</v>
      </c>
      <c r="C9" s="33">
        <v>10</v>
      </c>
    </row>
    <row r="10" spans="1:11" x14ac:dyDescent="0.25">
      <c r="A10" s="24" t="s">
        <v>12</v>
      </c>
      <c r="B10" s="28">
        <v>1000</v>
      </c>
      <c r="C10" s="33">
        <v>32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9B271-A9BE-4E2E-90ED-4CD47EEF3D6E}">
  <sheetPr codeName="Planilha8"/>
  <dimension ref="A1:M13"/>
  <sheetViews>
    <sheetView showGridLines="0" workbookViewId="0">
      <selection activeCell="G1" sqref="G1:I4"/>
    </sheetView>
  </sheetViews>
  <sheetFormatPr defaultRowHeight="15" x14ac:dyDescent="0.25"/>
  <cols>
    <col min="1" max="1" width="11.5703125" bestFit="1" customWidth="1"/>
    <col min="2" max="2" width="15.7109375" style="5" bestFit="1" customWidth="1"/>
    <col min="3" max="3" width="12.140625" style="5" bestFit="1" customWidth="1"/>
    <col min="4" max="4" width="16.42578125" bestFit="1" customWidth="1"/>
    <col min="5" max="5" width="22.5703125" style="5" bestFit="1" customWidth="1"/>
    <col min="10" max="10" width="9.140625" style="5"/>
  </cols>
  <sheetData>
    <row r="1" spans="1:13" x14ac:dyDescent="0.25">
      <c r="A1" s="24" t="s">
        <v>8</v>
      </c>
      <c r="B1" s="28" t="s">
        <v>16</v>
      </c>
      <c r="C1" s="28" t="s">
        <v>17</v>
      </c>
      <c r="D1" s="24" t="s">
        <v>13</v>
      </c>
      <c r="E1" s="28" t="s">
        <v>18</v>
      </c>
      <c r="G1" s="1"/>
      <c r="H1" s="29" t="s">
        <v>19</v>
      </c>
      <c r="I1" s="2"/>
      <c r="K1" s="1"/>
      <c r="L1" s="29" t="s">
        <v>20</v>
      </c>
      <c r="M1" s="2"/>
    </row>
    <row r="2" spans="1:13" x14ac:dyDescent="0.25">
      <c r="A2" s="24">
        <v>1</v>
      </c>
      <c r="B2" s="28" t="s">
        <v>0</v>
      </c>
      <c r="C2" s="28">
        <v>150</v>
      </c>
      <c r="D2" s="24">
        <v>3</v>
      </c>
      <c r="E2" s="28">
        <f>Tabela9[[#This Row],[valor un.]]*Tabela9[[#This Row],[un. Vendidas]]</f>
        <v>450</v>
      </c>
      <c r="G2" s="3"/>
      <c r="H2" s="7"/>
      <c r="I2" s="4"/>
      <c r="K2" s="3"/>
      <c r="L2" s="7"/>
      <c r="M2" s="4"/>
    </row>
    <row r="3" spans="1:13" x14ac:dyDescent="0.25">
      <c r="A3" s="24">
        <v>2</v>
      </c>
      <c r="B3" s="28" t="s">
        <v>2</v>
      </c>
      <c r="C3" s="28">
        <v>800</v>
      </c>
      <c r="D3" s="24">
        <v>1</v>
      </c>
      <c r="E3" s="28">
        <f>Tabela9[[#This Row],[valor un.]]*Tabela9[[#This Row],[un. Vendidas]]</f>
        <v>800</v>
      </c>
      <c r="G3" s="3"/>
      <c r="H3" s="30">
        <f>SUM(D:D)</f>
        <v>37</v>
      </c>
      <c r="I3" s="4"/>
      <c r="K3" s="31" t="s">
        <v>14</v>
      </c>
      <c r="L3" s="23">
        <f>SUM(E:E)</f>
        <v>69700.43994140625</v>
      </c>
      <c r="M3" s="4"/>
    </row>
    <row r="4" spans="1:13" ht="15.75" thickBot="1" x14ac:dyDescent="0.3">
      <c r="A4" s="24">
        <v>2</v>
      </c>
      <c r="B4" s="28" t="s">
        <v>4</v>
      </c>
      <c r="C4" s="28">
        <v>3599.989990234375</v>
      </c>
      <c r="D4" s="24">
        <v>10</v>
      </c>
      <c r="E4" s="28">
        <f>Tabela9[[#This Row],[valor un.]]*Tabela9[[#This Row],[un. Vendidas]]</f>
        <v>35999.89990234375</v>
      </c>
      <c r="G4" s="25"/>
      <c r="H4" s="26"/>
      <c r="I4" s="27"/>
      <c r="K4" s="25"/>
      <c r="L4" s="26"/>
      <c r="M4" s="27"/>
    </row>
    <row r="5" spans="1:13" x14ac:dyDescent="0.25">
      <c r="A5" s="24">
        <v>3</v>
      </c>
      <c r="B5" s="28" t="s">
        <v>1</v>
      </c>
      <c r="C5" s="28">
        <v>1350</v>
      </c>
      <c r="D5" s="24">
        <v>3</v>
      </c>
      <c r="E5" s="28">
        <f>Tabela9[[#This Row],[valor un.]]*Tabela9[[#This Row],[un. Vendidas]]</f>
        <v>4050</v>
      </c>
    </row>
    <row r="6" spans="1:13" x14ac:dyDescent="0.25">
      <c r="A6" s="24">
        <v>4</v>
      </c>
      <c r="B6" s="28" t="s">
        <v>1</v>
      </c>
      <c r="C6" s="28">
        <v>1350</v>
      </c>
      <c r="D6" s="24">
        <v>5</v>
      </c>
      <c r="E6" s="28">
        <f>Tabela9[[#This Row],[valor un.]]*Tabela9[[#This Row],[un. Vendidas]]</f>
        <v>6750</v>
      </c>
    </row>
    <row r="7" spans="1:13" x14ac:dyDescent="0.25">
      <c r="A7" s="24">
        <v>5</v>
      </c>
      <c r="B7" s="28" t="s">
        <v>3</v>
      </c>
      <c r="C7" s="28">
        <v>1300</v>
      </c>
      <c r="D7" s="24">
        <v>5</v>
      </c>
      <c r="E7" s="28">
        <f>Tabela9[[#This Row],[valor un.]]*Tabela9[[#This Row],[un. Vendidas]]</f>
        <v>6500</v>
      </c>
    </row>
    <row r="8" spans="1:13" x14ac:dyDescent="0.25">
      <c r="A8" s="24">
        <v>6</v>
      </c>
      <c r="B8" s="28" t="s">
        <v>1</v>
      </c>
      <c r="C8" s="28">
        <v>1350</v>
      </c>
      <c r="D8" s="24">
        <v>5</v>
      </c>
      <c r="E8" s="28">
        <f>Tabela9[[#This Row],[valor un.]]*Tabela9[[#This Row],[un. Vendidas]]</f>
        <v>6750</v>
      </c>
    </row>
    <row r="9" spans="1:13" x14ac:dyDescent="0.25">
      <c r="A9" s="24">
        <v>7</v>
      </c>
      <c r="B9" s="28" t="s">
        <v>1</v>
      </c>
      <c r="C9" s="28">
        <v>1350</v>
      </c>
      <c r="D9" s="24">
        <v>1</v>
      </c>
      <c r="E9" s="28">
        <f>Tabela9[[#This Row],[valor un.]]*Tabela9[[#This Row],[un. Vendidas]]</f>
        <v>1350</v>
      </c>
    </row>
    <row r="10" spans="1:13" x14ac:dyDescent="0.25">
      <c r="A10" s="24">
        <v>7</v>
      </c>
      <c r="B10" s="28" t="s">
        <v>4</v>
      </c>
      <c r="C10" s="28">
        <v>3599.989990234375</v>
      </c>
      <c r="D10" s="24">
        <v>1</v>
      </c>
      <c r="E10" s="28">
        <f>Tabela9[[#This Row],[valor un.]]*Tabela9[[#This Row],[un. Vendidas]]</f>
        <v>3599.989990234375</v>
      </c>
    </row>
    <row r="11" spans="1:13" x14ac:dyDescent="0.25">
      <c r="A11" s="24">
        <v>8</v>
      </c>
      <c r="B11" s="28" t="s">
        <v>2</v>
      </c>
      <c r="C11" s="28">
        <v>800</v>
      </c>
      <c r="D11" s="24">
        <v>1</v>
      </c>
      <c r="E11" s="28">
        <f>Tabela9[[#This Row],[valor un.]]*Tabela9[[#This Row],[un. Vendidas]]</f>
        <v>800</v>
      </c>
    </row>
    <row r="12" spans="1:13" x14ac:dyDescent="0.25">
      <c r="A12" s="24">
        <v>9</v>
      </c>
      <c r="B12" s="28" t="s">
        <v>6</v>
      </c>
      <c r="C12" s="28">
        <v>2500.550048828125</v>
      </c>
      <c r="D12" s="24">
        <v>1</v>
      </c>
      <c r="E12" s="28">
        <f>Tabela9[[#This Row],[valor un.]]*Tabela9[[#This Row],[un. Vendidas]]</f>
        <v>2500.550048828125</v>
      </c>
    </row>
    <row r="13" spans="1:13" x14ac:dyDescent="0.25">
      <c r="A13" s="24">
        <v>10</v>
      </c>
      <c r="B13" s="28" t="s">
        <v>0</v>
      </c>
      <c r="C13" s="28">
        <v>150</v>
      </c>
      <c r="D13" s="24">
        <v>1</v>
      </c>
      <c r="E13" s="28">
        <f>Tabela9[[#This Row],[valor un.]]*Tabela9[[#This Row],[un. Vendidas]]</f>
        <v>150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AD35ACF-1F6F-403C-9BD1-6BB207262E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Painel</vt:lpstr>
      <vt:lpstr>query_estoque</vt:lpstr>
      <vt:lpstr>query_venda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eduardo</dc:creator>
  <cp:lastModifiedBy>lucas eduardo</cp:lastModifiedBy>
  <dcterms:created xsi:type="dcterms:W3CDTF">2023-04-15T19:06:00Z</dcterms:created>
  <dcterms:modified xsi:type="dcterms:W3CDTF">2023-04-16T19:08:26Z</dcterms:modified>
</cp:coreProperties>
</file>